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9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5" max="5"/>
  </cols>
  <sheetData>
    <row r="1">
      <c r="A1" t="inlineStr">
        <is>
          <t>Growth</t>
        </is>
      </c>
      <c r="B1" t="n">
        <v>1.08</v>
      </c>
    </row>
    <row r="2">
      <c r="A2" t="inlineStr">
        <is>
          <t>Tax rate</t>
        </is>
      </c>
      <c r="B2" s="1" t="n">
        <v>0.26</v>
      </c>
    </row>
    <row r="4">
      <c r="A4" s="2" t="inlineStr">
        <is>
          <t>Month</t>
        </is>
      </c>
      <c r="B4" s="2" t="inlineStr">
        <is>
          <t>Revenue</t>
        </is>
      </c>
      <c r="C4" s="2" t="inlineStr">
        <is>
          <t>Region</t>
        </is>
      </c>
      <c r="E4" s="2" t="inlineStr">
        <is>
          <t>Total</t>
        </is>
      </c>
      <c r="F4" s="3">
        <f>SUM(B5:B10)</f>
        <v/>
      </c>
    </row>
    <row r="5">
      <c r="A5" t="inlineStr">
        <is>
          <t>2026-01</t>
        </is>
      </c>
      <c r="B5" s="3" t="n">
        <v>118000</v>
      </c>
      <c r="C5" t="inlineStr">
        <is>
          <t>East</t>
        </is>
      </c>
      <c r="E5" s="2" t="inlineStr">
        <is>
          <t>East total</t>
        </is>
      </c>
      <c r="F5" s="3">
        <f>SUMIF(C5:C9,"East",B5:B9)</f>
        <v/>
      </c>
    </row>
    <row r="6">
      <c r="A6" t="inlineStr">
        <is>
          <t>2026-02</t>
        </is>
      </c>
      <c r="B6" s="3" t="n">
        <v>124000</v>
      </c>
      <c r="C6" t="inlineStr">
        <is>
          <t>West</t>
        </is>
      </c>
      <c r="E6" s="2" t="inlineStr">
        <is>
          <t>East share</t>
        </is>
      </c>
      <c r="F6" s="4">
        <f>F5/F4</f>
        <v/>
      </c>
    </row>
    <row r="7">
      <c r="A7" t="inlineStr">
        <is>
          <t>2026-03</t>
        </is>
      </c>
      <c r="B7" s="3" t="n">
        <v>136000</v>
      </c>
      <c r="C7" t="inlineStr">
        <is>
          <t>East</t>
        </is>
      </c>
      <c r="E7" s="2" t="inlineStr">
        <is>
          <t>Forecast</t>
        </is>
      </c>
      <c r="F7" s="3">
        <f>ROUND(F4*B1,0)</f>
        <v/>
      </c>
    </row>
    <row r="8">
      <c r="A8" t="inlineStr">
        <is>
          <t>2026-04</t>
        </is>
      </c>
      <c r="B8" s="3" t="n">
        <v>142000</v>
      </c>
      <c r="C8" t="inlineStr">
        <is>
          <t>West</t>
        </is>
      </c>
      <c r="E8" s="2" t="inlineStr">
        <is>
          <t>After tax</t>
        </is>
      </c>
      <c r="F8" s="3">
        <f>F7*(1-B2)</f>
        <v/>
      </c>
    </row>
    <row r="9">
      <c r="A9" t="inlineStr">
        <is>
          <t>2026-05</t>
        </is>
      </c>
      <c r="B9" s="3" t="n">
        <v>151000</v>
      </c>
      <c r="C9" t="inlineStr">
        <is>
          <t>East</t>
        </is>
      </c>
    </row>
    <row r="10">
      <c r="A10" t="inlineStr">
        <is>
          <t>2026-06</t>
        </is>
      </c>
      <c r="B10" s="3" t="n">
        <v>168000</v>
      </c>
      <c r="C10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2026-09-15T00:52:06Z</dcterms:created>
  <dcterms:modified xsi:type="dcterms:W3CDTF">2026-09-15T00:52:06Z</dcterms:modified>
</cp:coreProperties>
</file>