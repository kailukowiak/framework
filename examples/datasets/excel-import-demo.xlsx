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200dc7324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adf96c555ba84218"/>
    <x:sheet xmlns:r="http://schemas.openxmlformats.org/officeDocument/2006/relationships" name="Sales" sheetId="2" r:id="R0ab19010352f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ab80d8d4e41ae" /><Relationship Type="http://schemas.openxmlformats.org/officeDocument/2006/relationships/theme" Target="/xl/theme/theme1.xml" Id="R896b18e61f20453d" /><Relationship Type="http://schemas.openxmlformats.org/officeDocument/2006/relationships/sharedStrings" Target="/xl/sharedStrings.xml" Id="R2dcba97d8e1749a0" /><Relationship Type="http://schemas.openxmlformats.org/officeDocument/2006/relationships/worksheet" Target="/xl/worksheets/sheet1.xml" Id="Radf96c555ba84218" /><Relationship Type="http://schemas.openxmlformats.org/officeDocument/2006/relationships/worksheet" Target="/xl/worksheets/sheet2.xml" Id="R0ab19010352f43eb" /></Relationships>
</file>

<file path=xl/tables/table1.xml><?xml version="1.0" encoding="utf-8"?>
<x:table xmlns:x="http://schemas.openxmlformats.org/spreadsheetml/2006/main" id="1" name="InventoryTable" displayName="InventoryTable" ref="A4:F10" headerRowCount="1" totalsRowCount="0" totalsRowShown="0">
  <x:tableColumns count="6">
    <x:tableColumn id="1" name="SKU"/>
    <x:tableColumn id="2" name="Product"/>
    <x:tableColumn id="3" name="Supplier ID"/>
    <x:tableColumn id="4" name="On Hand"/>
    <x:tableColumn id="5" name="Reorder Point"/>
    <x:tableColumn id="6" name="Unit 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Table" displayName="SuppliersTable" ref="H4:L8" headerRowCount="1" totalsRowCount="0" totalsRowShown="0">
  <x:tableColumns count="5">
    <x:tableColumn id="1" name="Supplier ID"/>
    <x:tableColumn id="2" name="Supplier"/>
    <x:tableColumn id="3" name="City"/>
    <x:tableColumn id="4" name="Lead Days"/>
    <x:tableColumn id="5" name="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OrdersTable" displayName="OrdersTable" ref="B5:I25" headerRowCount="1" totalsRowCount="0" totalsRowShown="0">
  <x:tableColumns count="8">
    <x:tableColumn id="1" name="Order ID"/>
    <x:tableColumn id="2" name="Order Date"/>
    <x:tableColumn id="3" name="SKU"/>
    <x:tableColumn id="4" name="Customer"/>
    <x:tableColumn id="5" name="Region"/>
    <x:tableColumn id="6" name="Units"/>
    <x:tableColumn id="7" name="Unit Price"/>
    <x:tableColumn id="8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d87e096a034a9e" /><Relationship Type="http://schemas.openxmlformats.org/officeDocument/2006/relationships/table" Target="/xl/tables/table2.xml" Id="R187e67841dd444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7320f2cee714d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1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2" t="str">
        <x:v>Cascadia Outfitters — operations reference data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Two independent Excel Tables share this worksheet.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>
      <x:c r="A4" t="str">
        <x:v>SKU</x:v>
      </x:c>
      <x:c r="B4" t="str">
        <x:v>Product</x:v>
      </x:c>
      <x:c r="C4" t="str">
        <x:v>Supplier ID</x:v>
      </x:c>
      <x:c r="D4" t="str">
        <x:v>On Hand</x:v>
      </x:c>
      <x:c r="E4" t="str">
        <x:v>Reorder Point</x:v>
      </x:c>
      <x:c r="F4" t="str">
        <x:v>Unit Cost</x:v>
      </x:c>
      <x:c r="H4" t="str">
        <x:v>Supplier ID</x:v>
      </x:c>
      <x:c r="I4" t="str">
        <x:v>Supplier</x:v>
      </x:c>
      <x:c r="J4" t="str">
        <x:v>City</x:v>
      </x:c>
      <x:c r="K4" t="str">
        <x:v>Lead Days</x:v>
      </x:c>
      <x:c r="L4" t="str">
        <x:v>Status</x:v>
      </x:c>
    </x:row>
    <x:row r="5">
      <x:c r="A5" t="str">
        <x:v>SKU-101</x:v>
      </x:c>
      <x:c r="B5" t="str">
        <x:v>Field notebook</x:v>
      </x:c>
      <x:c r="C5" t="str">
        <x:v>SUP-10</x:v>
      </x:c>
      <x:c r="D5" t="n">
        <x:v>20</x:v>
      </x:c>
      <x:c r="E5" t="n">
        <x:v>15</x:v>
      </x:c>
      <x:c r="F5" s="4" t="n">
        <x:v>37.25</x:v>
      </x:c>
      <x:c r="H5" t="str">
        <x:v>SUP-10</x:v>
      </x:c>
      <x:c r="I5" t="str">
        <x:v>North Peak Goods</x:v>
      </x:c>
      <x:c r="J5" t="str">
        <x:v>Calgary</x:v>
      </x:c>
      <x:c r="K5" t="n">
        <x:v>5</x:v>
      </x:c>
      <x:c r="L5" t="str">
        <x:v>Active</x:v>
      </x:c>
    </x:row>
    <x:row r="6">
      <x:c r="A6" t="str">
        <x:v>SKU-205</x:v>
      </x:c>
      <x:c r="B6" t="str">
        <x:v>Canvas tote</x:v>
      </x:c>
      <x:c r="C6" t="str">
        <x:v>SUP-20</x:v>
      </x:c>
      <x:c r="D6" t="n">
        <x:v>28</x:v>
      </x:c>
      <x:c r="E6" t="n">
        <x:v>15</x:v>
      </x:c>
      <x:c r="F6" s="4" t="n">
        <x:v>18.1</x:v>
      </x:c>
      <x:c r="H6" t="str">
        <x:v>SUP-20</x:v>
      </x:c>
      <x:c r="I6" t="str">
        <x:v>Prairie Wholesale</x:v>
      </x:c>
      <x:c r="J6" t="str">
        <x:v>Regina</x:v>
      </x:c>
      <x:c r="K6" t="n">
        <x:v>14</x:v>
      </x:c>
      <x:c r="L6" t="str">
        <x:v>Review</x:v>
      </x:c>
    </x:row>
    <x:row r="7">
      <x:c r="A7" t="str">
        <x:v>SKU-318</x:v>
      </x:c>
      <x:c r="B7" t="str">
        <x:v>Desk lamp</x:v>
      </x:c>
      <x:c r="C7" t="str">
        <x:v>SUP-20</x:v>
      </x:c>
      <x:c r="D7" t="n">
        <x:v>31</x:v>
      </x:c>
      <x:c r="E7" t="n">
        <x:v>15</x:v>
      </x:c>
      <x:c r="F7" s="4" t="n">
        <x:v>20.81</x:v>
      </x:c>
      <x:c r="H7" t="str">
        <x:v>SUP-30</x:v>
      </x:c>
      <x:c r="I7" t="str">
        <x:v>Coastal Supply</x:v>
      </x:c>
      <x:c r="J7" t="str">
        <x:v>Regina</x:v>
      </x:c>
      <x:c r="K7" t="n">
        <x:v>10</x:v>
      </x:c>
      <x:c r="L7" t="str">
        <x:v>Review</x:v>
      </x:c>
    </x:row>
    <x:row r="8">
      <x:c r="A8" t="str">
        <x:v>SKU-427</x:v>
      </x:c>
      <x:c r="B8" t="str">
        <x:v>Travel mug</x:v>
      </x:c>
      <x:c r="C8" t="str">
        <x:v>SUP-40</x:v>
      </x:c>
      <x:c r="D8" t="n">
        <x:v>50</x:v>
      </x:c>
      <x:c r="E8" t="n">
        <x:v>8</x:v>
      </x:c>
      <x:c r="F8" s="4" t="n">
        <x:v>49.78</x:v>
      </x:c>
      <x:c r="H8" t="str">
        <x:v>SUP-40</x:v>
      </x:c>
      <x:c r="I8" t="str">
        <x:v>Juniper Trading</x:v>
      </x:c>
      <x:c r="J8" t="str">
        <x:v>Edmonton</x:v>
      </x:c>
      <x:c r="K8" t="n">
        <x:v>7</x:v>
      </x:c>
      <x:c r="L8" t="str">
        <x:v>Active</x:v>
      </x:c>
    </x:row>
    <x:row r="9">
      <x:c r="A9" t="str">
        <x:v>SKU-533</x:v>
      </x:c>
      <x:c r="B9" t="str">
        <x:v>Cable organizer</x:v>
      </x:c>
      <x:c r="C9" t="str">
        <x:v>SUP-40</x:v>
      </x:c>
      <x:c r="D9" t="n">
        <x:v>65</x:v>
      </x:c>
      <x:c r="E9" t="n">
        <x:v>12</x:v>
      </x:c>
      <x:c r="F9" s="4" t="n">
        <x:v>75.17</x:v>
      </x:c>
    </x:row>
    <x:row r="10">
      <x:c r="A10" t="str">
        <x:v>SKU-640</x:v>
      </x:c>
      <x:c r="B10" t="str">
        <x:v>Wool blanket</x:v>
      </x:c>
      <x:c r="C10" t="str">
        <x:v>SUP-40</x:v>
      </x:c>
      <x:c r="D10" t="n">
        <x:v>58</x:v>
      </x:c>
      <x:c r="E10" t="n">
        <x:v>19</x:v>
      </x:c>
      <x:c r="F10" s="4" t="n">
        <x:v>83.79</x:v>
      </x:c>
    </x:row>
  </x:sheetData>
  <x:mergeCells>
    <x:mergeCell ref="A1:L1"/>
    <x:mergeCell ref="A2:L2"/>
  </x:mergeCells>
  <x:pageMargins left="0.7" right="0.7" top="0.75" bottom="0.75" header="0.3" footer="0.3"/>
  <x:tableParts count="2">
    <x:tablePart xmlns:r="http://schemas.openxmlformats.org/officeDocument/2006/relationships" r:id="Rc5d87e096a034a9e"/>
    <x:tablePart xmlns:r="http://schemas.openxmlformats.org/officeDocument/2006/relationships" r:id="R187e67841dd444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" hidden="0" customWidth="1"/>
    <x:col min="3" max="3" width="17" hidden="0" customWidth="1"/>
    <x:col min="4" max="4" width="17" hidden="0" customWidth="1"/>
    <x:col min="5" max="5" width="21" hidden="0" customWidth="1"/>
    <x:col min="6" max="6" width="19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B1" s="2" t="str">
        <x:v>Cascadia Outfitters — generated sales orders</x:v>
      </x:c>
      <x:c r="C1" s="2"/>
      <x:c r="D1" s="2"/>
      <x:c r="E1" s="2"/>
      <x:c r="F1" s="2"/>
      <x:c r="G1" s="2"/>
      <x:c r="H1" s="2"/>
      <x:c r="I1" s="2"/>
    </x:row>
    <x:row r="2">
      <x:c r="B2" s="3" t="str">
        <x:v>Revenue is formula-derived; FrameWork imports its cached result, never the Excel formula.</x:v>
      </x:c>
      <x:c r="C2" s="3"/>
      <x:c r="D2" s="3"/>
      <x:c r="E2" s="3"/>
      <x:c r="F2" s="3"/>
      <x:c r="G2" s="3"/>
      <x:c r="H2" s="3"/>
      <x:c r="I2" s="3"/>
    </x:row>
    <x:row r="5">
      <x:c r="B5" t="str">
        <x:v>Order ID</x:v>
      </x:c>
      <x:c r="C5" t="str">
        <x:v>Order Date</x:v>
      </x:c>
      <x:c r="D5" t="str">
        <x:v>SKU</x:v>
      </x:c>
      <x:c r="E5" t="str">
        <x:v>Customer</x:v>
      </x:c>
      <x:c r="F5" t="str">
        <x:v>Region</x:v>
      </x:c>
      <x:c r="G5" t="str">
        <x:v>Units</x:v>
      </x:c>
      <x:c r="H5" t="str">
        <x:v>Unit Price</x:v>
      </x:c>
      <x:c r="I5" t="str">
        <x:v>Revenue</x:v>
      </x:c>
    </x:row>
    <x:row r="6">
      <x:c r="B6" t="str">
        <x:v>ORD-1001</x:v>
      </x:c>
      <x:c r="C6" s="5" t="n">
        <x:v>46035</x:v>
      </x:c>
      <x:c r="D6" t="str">
        <x:v>SKU-101</x:v>
      </x:c>
      <x:c r="E6" t="str">
        <x:v>Aurora Market</x:v>
      </x:c>
      <x:c r="F6" t="str">
        <x:v>Alberta North</x:v>
      </x:c>
      <x:c r="G6" t="n">
        <x:v>2</x:v>
      </x:c>
      <x:c r="H6" s="4" t="n">
        <x:v>13.74</x:v>
      </x:c>
      <x:c r="I6" s="4" t="n">
        <x:f>G6*H6</x:f>
        <x:v>27.48</x:v>
      </x:c>
    </x:row>
    <x:row r="7">
      <x:c r="B7" t="str">
        <x:v>ORD-1002</x:v>
      </x:c>
      <x:c r="C7" s="5" t="n">
        <x:v>46088</x:v>
      </x:c>
      <x:c r="D7" t="str">
        <x:v>SKU-533</x:v>
      </x:c>
      <x:c r="E7" t="str">
        <x:v>Coastal Labs</x:v>
      </x:c>
      <x:c r="F7" t="str">
        <x:v>Saskatchewan</x:v>
      </x:c>
      <x:c r="G7" t="n">
        <x:v>4</x:v>
      </x:c>
      <x:c r="H7" s="4" t="n">
        <x:v>118.71</x:v>
      </x:c>
      <x:c r="I7" s="4" t="n">
        <x:f>G7*H7</x:f>
        <x:v>474.84</x:v>
      </x:c>
    </x:row>
    <x:row r="8">
      <x:c r="B8" t="str">
        <x:v>ORD-1003</x:v>
      </x:c>
      <x:c r="C8" s="5" t="n">
        <x:v>46026</x:v>
      </x:c>
      <x:c r="D8" t="str">
        <x:v>SKU-205</x:v>
      </x:c>
      <x:c r="E8" t="str">
        <x:v>Northwind Studio</x:v>
      </x:c>
      <x:c r="F8" t="str">
        <x:v>Alberta South</x:v>
      </x:c>
      <x:c r="G8" t="n">
        <x:v>12</x:v>
      </x:c>
      <x:c r="H8" s="4" t="n">
        <x:v>37.87</x:v>
      </x:c>
      <x:c r="I8" s="4" t="n">
        <x:f>G8*H8</x:f>
        <x:v>454.43999999999994</x:v>
      </x:c>
    </x:row>
    <x:row r="9">
      <x:c r="B9" t="str">
        <x:v>ORD-1004</x:v>
      </x:c>
      <x:c r="C9" s="5" t="n">
        <x:v>46064</x:v>
      </x:c>
      <x:c r="D9" t="str">
        <x:v>SKU-205</x:v>
      </x:c>
      <x:c r="E9" t="str">
        <x:v>Summit Supply</x:v>
      </x:c>
      <x:c r="F9" t="str">
        <x:v>Alberta South</x:v>
      </x:c>
      <x:c r="G9" t="n">
        <x:v>3</x:v>
      </x:c>
      <x:c r="H9" s="4" t="n">
        <x:v>117.01</x:v>
      </x:c>
      <x:c r="I9" s="4" t="n">
        <x:f>G9*H9</x:f>
        <x:v>351.03000000000003</x:v>
      </x:c>
    </x:row>
    <x:row r="10">
      <x:c r="B10" t="str">
        <x:v>ORD-1005</x:v>
      </x:c>
      <x:c r="C10" s="5" t="n">
        <x:v>46094</x:v>
      </x:c>
      <x:c r="D10" t="str">
        <x:v>SKU-533</x:v>
      </x:c>
      <x:c r="E10" t="str">
        <x:v>Summit Supply</x:v>
      </x:c>
      <x:c r="F10" t="str">
        <x:v>BC South</x:v>
      </x:c>
      <x:c r="G10" t="n">
        <x:v>2</x:v>
      </x:c>
      <x:c r="H10" s="4" t="n">
        <x:v>24.66</x:v>
      </x:c>
      <x:c r="I10" s="4" t="n">
        <x:f>G10*H10</x:f>
        <x:v>49.32</x:v>
      </x:c>
    </x:row>
    <x:row r="11">
      <x:c r="B11" t="str">
        <x:v>ORD-1006</x:v>
      </x:c>
      <x:c r="C11" s="5" t="n">
        <x:v>46060</x:v>
      </x:c>
      <x:c r="D11" t="str">
        <x:v>SKU-205</x:v>
      </x:c>
      <x:c r="E11" t="str">
        <x:v>Prairie Goods</x:v>
      </x:c>
      <x:c r="F11" t="str">
        <x:v>BC South</x:v>
      </x:c>
      <x:c r="G11" t="n">
        <x:v>9</x:v>
      </x:c>
      <x:c r="H11" s="4" t="n">
        <x:v>41.38</x:v>
      </x:c>
      <x:c r="I11" s="4" t="n">
        <x:f>G11*H11</x:f>
        <x:v>372.42</x:v>
      </x:c>
    </x:row>
    <x:row r="12">
      <x:c r="B12" t="str">
        <x:v>ORD-1007</x:v>
      </x:c>
      <x:c r="C12" s="5" t="n">
        <x:v>46101</x:v>
      </x:c>
      <x:c r="D12" t="str">
        <x:v>SKU-640</x:v>
      </x:c>
      <x:c r="E12" t="str">
        <x:v>Northwind Studio</x:v>
      </x:c>
      <x:c r="F12" t="str">
        <x:v>Alberta South</x:v>
      </x:c>
      <x:c r="G12" t="n">
        <x:v>4</x:v>
      </x:c>
      <x:c r="H12" s="4" t="n">
        <x:v>97.57</x:v>
      </x:c>
      <x:c r="I12" s="4" t="n">
        <x:f>G12*H12</x:f>
        <x:v>390.28</x:v>
      </x:c>
    </x:row>
    <x:row r="13">
      <x:c r="B13" t="str">
        <x:v>ORD-1008</x:v>
      </x:c>
      <x:c r="C13" s="5" t="n">
        <x:v>46045</x:v>
      </x:c>
      <x:c r="D13" t="str">
        <x:v>SKU-101</x:v>
      </x:c>
      <x:c r="E13" t="str">
        <x:v>Northwind Studio</x:v>
      </x:c>
      <x:c r="F13" t="str">
        <x:v>BC South</x:v>
      </x:c>
      <x:c r="G13" t="n">
        <x:v>9</x:v>
      </x:c>
      <x:c r="H13" s="4" t="n">
        <x:v>65.67</x:v>
      </x:c>
      <x:c r="I13" s="4" t="n">
        <x:f>G13*H13</x:f>
        <x:v>591.03</x:v>
      </x:c>
    </x:row>
    <x:row r="14">
      <x:c r="B14" t="str">
        <x:v>ORD-1009</x:v>
      </x:c>
      <x:c r="C14" s="5" t="n">
        <x:v>46057</x:v>
      </x:c>
      <x:c r="D14" t="str">
        <x:v>SKU-318</x:v>
      </x:c>
      <x:c r="E14" t="str">
        <x:v>Aurora Market</x:v>
      </x:c>
      <x:c r="F14" t="str">
        <x:v>Alberta South</x:v>
      </x:c>
      <x:c r="G14" t="n">
        <x:v>6</x:v>
      </x:c>
      <x:c r="H14" s="4" t="n">
        <x:v>32.07</x:v>
      </x:c>
      <x:c r="I14" s="4" t="n">
        <x:f>G14*H14</x:f>
        <x:v>192.42000000000002</x:v>
      </x:c>
    </x:row>
    <x:row r="15">
      <x:c r="B15" t="str">
        <x:v>ORD-1010</x:v>
      </x:c>
      <x:c r="C15" s="5" t="n">
        <x:v>46099</x:v>
      </x:c>
      <x:c r="D15" t="str">
        <x:v>SKU-640</x:v>
      </x:c>
      <x:c r="E15" t="str">
        <x:v>Aurora Market</x:v>
      </x:c>
      <x:c r="F15" t="str">
        <x:v>Saskatchewan</x:v>
      </x:c>
      <x:c r="G15" t="n">
        <x:v>10</x:v>
      </x:c>
      <x:c r="H15" s="4" t="n">
        <x:v>114.03</x:v>
      </x:c>
      <x:c r="I15" s="4" t="n">
        <x:f>G15*H15</x:f>
        <x:v>1140.3</x:v>
      </x:c>
    </x:row>
    <x:row r="16">
      <x:c r="B16" t="str">
        <x:v>ORD-1011</x:v>
      </x:c>
      <x:c r="C16" s="5" t="n">
        <x:v>46034</x:v>
      </x:c>
      <x:c r="D16" t="str">
        <x:v>SKU-427</x:v>
      </x:c>
      <x:c r="E16" t="str">
        <x:v>Summit Supply</x:v>
      </x:c>
      <x:c r="F16" t="str">
        <x:v>BC South</x:v>
      </x:c>
      <x:c r="G16" t="n">
        <x:v>10</x:v>
      </x:c>
      <x:c r="H16" s="4" t="n">
        <x:v>20.74</x:v>
      </x:c>
      <x:c r="I16" s="4" t="n">
        <x:f>G16*H16</x:f>
        <x:v>207.39999999999998</x:v>
      </x:c>
    </x:row>
    <x:row r="17">
      <x:c r="B17" t="str">
        <x:v>ORD-1012</x:v>
      </x:c>
      <x:c r="C17" s="5" t="n">
        <x:v>46091</x:v>
      </x:c>
      <x:c r="D17" t="str">
        <x:v>SKU-318</x:v>
      </x:c>
      <x:c r="E17" t="str">
        <x:v>Summit Supply</x:v>
      </x:c>
      <x:c r="F17" t="str">
        <x:v>Alberta South</x:v>
      </x:c>
      <x:c r="G17" t="n">
        <x:v>2</x:v>
      </x:c>
      <x:c r="H17" s="4" t="n">
        <x:v>81.24</x:v>
      </x:c>
      <x:c r="I17" s="4" t="n">
        <x:f>G17*H17</x:f>
        <x:v>162.48</x:v>
      </x:c>
    </x:row>
    <x:row r="18">
      <x:c r="B18" t="str">
        <x:v>ORD-1013</x:v>
      </x:c>
      <x:c r="C18" s="5" t="n">
        <x:v>46099</x:v>
      </x:c>
      <x:c r="D18" t="str">
        <x:v>SKU-318</x:v>
      </x:c>
      <x:c r="E18" t="str">
        <x:v>Summit Supply</x:v>
      </x:c>
      <x:c r="F18" t="str">
        <x:v>Alberta South</x:v>
      </x:c>
      <x:c r="G18" t="n">
        <x:v>9</x:v>
      </x:c>
      <x:c r="H18" s="4" t="n">
        <x:v>112.05</x:v>
      </x:c>
      <x:c r="I18" s="4" t="n">
        <x:f>G18*H18</x:f>
        <x:v>1008.4499999999999</x:v>
      </x:c>
    </x:row>
    <x:row r="19">
      <x:c r="B19" t="str">
        <x:v>ORD-1014</x:v>
      </x:c>
      <x:c r="C19" s="5" t="n">
        <x:v>46053</x:v>
      </x:c>
      <x:c r="D19" t="str">
        <x:v>SKU-640</x:v>
      </x:c>
      <x:c r="E19" t="str">
        <x:v>Prairie Goods</x:v>
      </x:c>
      <x:c r="F19" t="str">
        <x:v>Alberta North</x:v>
      </x:c>
      <x:c r="G19" t="n">
        <x:v>6</x:v>
      </x:c>
      <x:c r="H19" s="4" t="n">
        <x:v>88.45</x:v>
      </x:c>
      <x:c r="I19" s="4" t="n">
        <x:f>G19*H19</x:f>
        <x:v>530.7</x:v>
      </x:c>
    </x:row>
    <x:row r="20">
      <x:c r="B20" t="str">
        <x:v>ORD-1015</x:v>
      </x:c>
      <x:c r="C20" s="5" t="n">
        <x:v>46092</x:v>
      </x:c>
      <x:c r="D20" t="str">
        <x:v>SKU-205</x:v>
      </x:c>
      <x:c r="E20" t="str">
        <x:v>Aurora Market</x:v>
      </x:c>
      <x:c r="F20" t="str">
        <x:v>Alberta North</x:v>
      </x:c>
      <x:c r="G20" t="n">
        <x:v>12</x:v>
      </x:c>
      <x:c r="H20" s="4" t="n">
        <x:v>35.65</x:v>
      </x:c>
      <x:c r="I20" s="4" t="n">
        <x:f>G20*H20</x:f>
        <x:v>427.79999999999995</x:v>
      </x:c>
    </x:row>
    <x:row r="21">
      <x:c r="B21" t="str">
        <x:v>ORD-1016</x:v>
      </x:c>
      <x:c r="C21" s="5" t="n">
        <x:v>46053</x:v>
      </x:c>
      <x:c r="D21" t="str">
        <x:v>SKU-318</x:v>
      </x:c>
      <x:c r="E21" t="str">
        <x:v>Coastal Labs</x:v>
      </x:c>
      <x:c r="F21" t="str">
        <x:v>BC South</x:v>
      </x:c>
      <x:c r="G21" t="n">
        <x:v>11</x:v>
      </x:c>
      <x:c r="H21" s="4" t="n">
        <x:v>102.61</x:v>
      </x:c>
      <x:c r="I21" s="4" t="n">
        <x:f>G21*H21</x:f>
        <x:v>1128.71</x:v>
      </x:c>
    </x:row>
    <x:row r="22">
      <x:c r="B22" t="str">
        <x:v>ORD-1017</x:v>
      </x:c>
      <x:c r="C22" s="5" t="n">
        <x:v>46051</x:v>
      </x:c>
      <x:c r="D22" t="str">
        <x:v>SKU-640</x:v>
      </x:c>
      <x:c r="E22" t="str">
        <x:v>Aurora Market</x:v>
      </x:c>
      <x:c r="F22" t="str">
        <x:v>BC South</x:v>
      </x:c>
      <x:c r="G22" t="n">
        <x:v>11</x:v>
      </x:c>
      <x:c r="H22" s="4" t="n">
        <x:v>72.03</x:v>
      </x:c>
      <x:c r="I22" s="4" t="n">
        <x:f>G22*H22</x:f>
        <x:v>792.33</x:v>
      </x:c>
    </x:row>
    <x:row r="23">
      <x:c r="B23" t="str">
        <x:v>ORD-1018</x:v>
      </x:c>
      <x:c r="C23" s="5" t="n">
        <x:v>46036</x:v>
      </x:c>
      <x:c r="D23" t="str">
        <x:v>SKU-533</x:v>
      </x:c>
      <x:c r="E23" t="str">
        <x:v>Prairie Goods</x:v>
      </x:c>
      <x:c r="F23" t="str">
        <x:v>Alberta North</x:v>
      </x:c>
      <x:c r="G23" t="n">
        <x:v>1</x:v>
      </x:c>
      <x:c r="H23" s="4" t="n">
        <x:v>68.44</x:v>
      </x:c>
      <x:c r="I23" s="4" t="n">
        <x:f>G23*H23</x:f>
        <x:v>68.44</x:v>
      </x:c>
    </x:row>
    <x:row r="24">
      <x:c r="B24" t="str">
        <x:v>ORD-1019</x:v>
      </x:c>
      <x:c r="C24" s="5" t="n">
        <x:v>46086</x:v>
      </x:c>
      <x:c r="D24" t="str">
        <x:v>SKU-640</x:v>
      </x:c>
      <x:c r="E24" t="str">
        <x:v>Coastal Labs</x:v>
      </x:c>
      <x:c r="F24" t="str">
        <x:v>Saskatchewan</x:v>
      </x:c>
      <x:c r="G24" t="n">
        <x:v>5</x:v>
      </x:c>
      <x:c r="H24" s="4" t="n">
        <x:v>39.66</x:v>
      </x:c>
      <x:c r="I24" s="4" t="n">
        <x:f>G24*H24</x:f>
        <x:v>198.29999999999998</x:v>
      </x:c>
    </x:row>
    <x:row r="25">
      <x:c r="B25" t="str">
        <x:v>ORD-1020</x:v>
      </x:c>
      <x:c r="C25" s="5" t="n">
        <x:v>46050</x:v>
      </x:c>
      <x:c r="D25" t="str">
        <x:v>SKU-640</x:v>
      </x:c>
      <x:c r="E25" t="str">
        <x:v>Summit Supply</x:v>
      </x:c>
      <x:c r="F25" t="str">
        <x:v>Alberta North</x:v>
      </x:c>
      <x:c r="G25" t="n">
        <x:v>3</x:v>
      </x:c>
      <x:c r="H25" s="4" t="n">
        <x:v>107.97</x:v>
      </x:c>
      <x:c r="I25" s="4" t="n">
        <x:f>G25*H25</x:f>
        <x:v>323.90999999999997</x:v>
      </x:c>
    </x:row>
  </x:sheetData>
  <x:mergeCells>
    <x:mergeCell ref="B1:I1"/>
    <x:mergeCell ref="B2:I2"/>
  </x:mergeCells>
  <x:pageMargins left="0.7" right="0.7" top="0.75" bottom="0.75" header="0.3" footer="0.3"/>
  <x:tableParts count="1">
    <x:tablePart xmlns:r="http://schemas.openxmlformats.org/officeDocument/2006/relationships" r:id="R67320f2cee714d83"/>
  </x:tableParts>
</x:worksheet>
</file>